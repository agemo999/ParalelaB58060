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6" windowWidth="22116" windowHeight="9552"/>
  </bookViews>
  <sheets>
    <sheet name="Hoja1" sheetId="1" r:id="rId1"/>
    <sheet name="variables" sheetId="2" r:id="rId2"/>
    <sheet name="Hoja3" sheetId="3" r:id="rId3"/>
  </sheets>
  <functionGroups builtInGroupCount="17"/>
  <definedNames>
    <definedName name="proc0r">Hoja1!$B$10</definedName>
    <definedName name="proc1r">Hoja1!$C$10</definedName>
    <definedName name="proc2r">Hoja1!$D$10</definedName>
    <definedName name="proc3r">Hoja1!$E$10</definedName>
    <definedName name="proceso1">variables!$B$2</definedName>
    <definedName name="proceso2">variables!$B$3</definedName>
    <definedName name="proceso3">variables!$B$4</definedName>
    <definedName name="proceso4">variables!$B$5</definedName>
  </definedNames>
  <calcPr calcId="144525"/>
</workbook>
</file>

<file path=xl/calcChain.xml><?xml version="1.0" encoding="utf-8"?>
<calcChain xmlns="http://schemas.openxmlformats.org/spreadsheetml/2006/main">
  <c r="B8" i="1" l="1"/>
  <c r="F8" i="1" s="1"/>
  <c r="C8" i="1"/>
  <c r="D8" i="1"/>
  <c r="E8" i="1"/>
  <c r="E23" i="1"/>
  <c r="D23" i="1"/>
  <c r="C23" i="1"/>
  <c r="B23" i="1"/>
  <c r="G23" i="1" s="1"/>
  <c r="E22" i="1"/>
  <c r="D22" i="1"/>
  <c r="C22" i="1"/>
  <c r="G22" i="1" s="1"/>
  <c r="B22" i="1"/>
  <c r="Q8" i="2"/>
  <c r="P8" i="2"/>
  <c r="O8" i="2"/>
  <c r="N8" i="2"/>
  <c r="M8" i="2"/>
  <c r="L8" i="2"/>
  <c r="K8" i="2"/>
  <c r="J8" i="2"/>
  <c r="I8" i="2"/>
  <c r="H8" i="2"/>
  <c r="G8" i="2"/>
  <c r="C5" i="2" s="1"/>
  <c r="F8" i="2"/>
  <c r="C4" i="2" s="1"/>
  <c r="E8" i="2"/>
  <c r="C3" i="2" s="1"/>
  <c r="D8" i="2"/>
  <c r="C2" i="2" s="1"/>
  <c r="E9" i="1"/>
  <c r="D9" i="1"/>
  <c r="C9" i="1"/>
  <c r="B9" i="1"/>
  <c r="D24" i="1"/>
  <c r="B24" i="1"/>
  <c r="E24" i="1"/>
  <c r="C24" i="1"/>
  <c r="E10" i="1"/>
  <c r="D10" i="1"/>
  <c r="C10" i="1"/>
  <c r="B10" i="1"/>
  <c r="G8" i="1" l="1"/>
  <c r="H8" i="1" s="1"/>
  <c r="F10" i="1"/>
  <c r="F24" i="1"/>
  <c r="F22" i="1"/>
  <c r="F23" i="1"/>
  <c r="G24" i="1"/>
  <c r="H24" i="1" s="1"/>
  <c r="H23" i="1"/>
  <c r="H22" i="1"/>
  <c r="G10" i="1"/>
  <c r="F9" i="1"/>
  <c r="G9" i="1"/>
  <c r="H9" i="1" l="1"/>
  <c r="H10" i="1"/>
</calcChain>
</file>

<file path=xl/sharedStrings.xml><?xml version="1.0" encoding="utf-8"?>
<sst xmlns="http://schemas.openxmlformats.org/spreadsheetml/2006/main" count="32" uniqueCount="15">
  <si>
    <t>Procesos</t>
  </si>
  <si>
    <t>Proceso 0</t>
  </si>
  <si>
    <t>Proceso 1</t>
  </si>
  <si>
    <t>Proceso 2</t>
  </si>
  <si>
    <t>Proceso 3</t>
  </si>
  <si>
    <t>Total Tiempo</t>
  </si>
  <si>
    <t>Tiempo Maximo</t>
  </si>
  <si>
    <t>Speed up</t>
  </si>
  <si>
    <t>Counter</t>
  </si>
  <si>
    <t>Ejercicio B</t>
  </si>
  <si>
    <t>Mapeo Estatico Ciclico</t>
  </si>
  <si>
    <t>Mapeo Estatico por Bloque</t>
  </si>
  <si>
    <t>Mapeo Dinamico</t>
  </si>
  <si>
    <t>Tiempo</t>
  </si>
  <si>
    <t>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</si>
</sst>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24"/>
  <sheetViews>
    <sheetView tabSelected="1" workbookViewId="0">
      <selection activeCell="B5" sqref="B5"/>
    </sheetView>
  </sheetViews>
  <sheetFormatPr baseColWidth="10" defaultRowHeight="14.4" x14ac:dyDescent="0.3"/>
  <cols>
    <col min="1" max="1" width="23.33203125" bestFit="1" customWidth="1"/>
    <col min="7" max="7" width="14.21875" bestFit="1" customWidth="1"/>
  </cols>
  <sheetData>
    <row r="1" spans="1:15" x14ac:dyDescent="0.3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2" t="s">
        <v>14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</row>
    <row r="4" spans="1:15" x14ac:dyDescent="0.3">
      <c r="A4" t="s">
        <v>13</v>
      </c>
      <c r="B4" s="2">
        <v>1</v>
      </c>
      <c r="C4">
        <v>2</v>
      </c>
      <c r="D4">
        <v>2</v>
      </c>
      <c r="E4">
        <v>1</v>
      </c>
      <c r="F4">
        <v>1</v>
      </c>
      <c r="G4">
        <v>1</v>
      </c>
      <c r="H4">
        <v>2</v>
      </c>
      <c r="I4">
        <v>1</v>
      </c>
      <c r="J4">
        <v>2</v>
      </c>
      <c r="K4">
        <v>2</v>
      </c>
      <c r="L4">
        <v>1</v>
      </c>
      <c r="M4">
        <v>2</v>
      </c>
      <c r="N4">
        <v>1</v>
      </c>
      <c r="O4">
        <v>2</v>
      </c>
    </row>
    <row r="5" spans="1:15" x14ac:dyDescent="0.3">
      <c r="B5" s="2"/>
    </row>
    <row r="6" spans="1:15" x14ac:dyDescent="0.3">
      <c r="A6" s="2"/>
    </row>
    <row r="7" spans="1:15" x14ac:dyDescent="0.3">
      <c r="B7" t="s">
        <v>1</v>
      </c>
      <c r="C7" t="s">
        <v>2</v>
      </c>
      <c r="D7" t="s">
        <v>3</v>
      </c>
      <c r="E7" t="s">
        <v>4</v>
      </c>
      <c r="F7" t="s">
        <v>5</v>
      </c>
      <c r="G7" t="s">
        <v>6</v>
      </c>
      <c r="H7" t="s">
        <v>7</v>
      </c>
    </row>
    <row r="8" spans="1:15" x14ac:dyDescent="0.3">
      <c r="A8" t="s">
        <v>10</v>
      </c>
      <c r="B8">
        <f>B4+F4+J4+N4</f>
        <v>5</v>
      </c>
      <c r="C8">
        <f>C4+G4+K4+O4</f>
        <v>7</v>
      </c>
      <c r="D8">
        <f>D4+H4+L4</f>
        <v>5</v>
      </c>
      <c r="E8">
        <f>E4+I4+M4</f>
        <v>4</v>
      </c>
      <c r="F8">
        <f>B8+C8+D8+E8</f>
        <v>21</v>
      </c>
      <c r="G8">
        <f>MAX(B8:E8)</f>
        <v>7</v>
      </c>
      <c r="H8">
        <f>F8/G8</f>
        <v>3</v>
      </c>
    </row>
    <row r="9" spans="1:15" x14ac:dyDescent="0.3">
      <c r="A9" t="s">
        <v>11</v>
      </c>
      <c r="B9">
        <f>B4+C4+D4+E4</f>
        <v>6</v>
      </c>
      <c r="C9">
        <f>F4+G4+H4+I4</f>
        <v>5</v>
      </c>
      <c r="D9">
        <f>J4+K4+L4+M4</f>
        <v>7</v>
      </c>
      <c r="E9">
        <f>N4+O4</f>
        <v>3</v>
      </c>
      <c r="F9" s="2">
        <f>E9+D9+C9+B9</f>
        <v>21</v>
      </c>
      <c r="G9">
        <f>MAX(B9:E9)</f>
        <v>7</v>
      </c>
      <c r="H9">
        <f>F9/G9</f>
        <v>3</v>
      </c>
    </row>
    <row r="10" spans="1:15" x14ac:dyDescent="0.3">
      <c r="A10" s="2" t="s">
        <v>12</v>
      </c>
      <c r="B10" s="3">
        <f>dinamicop(B4,C4,D4,E4,F4,G4,H4,I4,J4,K4,L4,M4,N4,O4,0)</f>
        <v>6</v>
      </c>
      <c r="C10">
        <f>dinamicop(B4,C4,D4,E4,F4,G4,H4,I4,J4,K4,L4,M4,N4,O4,1)</f>
        <v>5</v>
      </c>
      <c r="D10" s="2">
        <f>dinamicop(B4,C4,D4,E4,F4,G4,H4,I4,J4,K4,L4,M4,N4,O4,2)</f>
        <v>6</v>
      </c>
      <c r="E10">
        <f>dinamicop(B4,C4,D4,E4,F4,G4,H4,I4,J4,K4,L4,M4,N4,O4,3)</f>
        <v>4</v>
      </c>
      <c r="F10">
        <f>proc0r+proc1r+proc2r+proc3r</f>
        <v>21</v>
      </c>
      <c r="G10">
        <f>MAX(B10:E10)</f>
        <v>6</v>
      </c>
      <c r="H10">
        <f>F10/G10</f>
        <v>3.5</v>
      </c>
    </row>
    <row r="14" spans="1:15" x14ac:dyDescent="0.3">
      <c r="B14" t="s">
        <v>9</v>
      </c>
    </row>
    <row r="15" spans="1:15" x14ac:dyDescent="0.3">
      <c r="B15" s="4" t="s">
        <v>0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3">
      <c r="A17" t="s">
        <v>14</v>
      </c>
      <c r="B17">
        <v>1</v>
      </c>
      <c r="C17">
        <v>2</v>
      </c>
      <c r="D17">
        <v>3</v>
      </c>
      <c r="E17">
        <v>4</v>
      </c>
      <c r="F17">
        <v>5</v>
      </c>
      <c r="G17">
        <v>6</v>
      </c>
      <c r="H17">
        <v>7</v>
      </c>
      <c r="I17">
        <v>8</v>
      </c>
      <c r="J17">
        <v>9</v>
      </c>
      <c r="K17">
        <v>10</v>
      </c>
      <c r="L17">
        <v>11</v>
      </c>
      <c r="M17">
        <v>12</v>
      </c>
      <c r="N17">
        <v>13</v>
      </c>
      <c r="O17">
        <v>14</v>
      </c>
    </row>
    <row r="18" spans="1:15" x14ac:dyDescent="0.3">
      <c r="A18" t="s">
        <v>13</v>
      </c>
      <c r="B18" s="2">
        <v>1</v>
      </c>
      <c r="C18">
        <v>2</v>
      </c>
      <c r="D18">
        <v>4</v>
      </c>
      <c r="E18">
        <v>8</v>
      </c>
      <c r="F18">
        <v>16</v>
      </c>
      <c r="G18">
        <v>32</v>
      </c>
      <c r="H18">
        <v>64</v>
      </c>
      <c r="I18">
        <v>128</v>
      </c>
      <c r="J18">
        <v>256</v>
      </c>
      <c r="K18">
        <v>512</v>
      </c>
      <c r="L18">
        <v>1024</v>
      </c>
      <c r="M18">
        <v>2048</v>
      </c>
      <c r="N18">
        <v>4096</v>
      </c>
      <c r="O18">
        <v>8192</v>
      </c>
    </row>
    <row r="21" spans="1:15" x14ac:dyDescent="0.3">
      <c r="B21" t="s">
        <v>1</v>
      </c>
      <c r="C21" t="s">
        <v>2</v>
      </c>
      <c r="D21" t="s">
        <v>3</v>
      </c>
      <c r="E21" t="s">
        <v>4</v>
      </c>
      <c r="F21" t="s">
        <v>5</v>
      </c>
      <c r="G21" t="s">
        <v>6</v>
      </c>
      <c r="H21" t="s">
        <v>7</v>
      </c>
    </row>
    <row r="22" spans="1:15" x14ac:dyDescent="0.3">
      <c r="A22" t="s">
        <v>10</v>
      </c>
      <c r="B22">
        <f>B18+F18+J18+N18</f>
        <v>4369</v>
      </c>
      <c r="C22">
        <f>C18+G18+K18+O18</f>
        <v>8738</v>
      </c>
      <c r="D22">
        <f>D18+H18+L18</f>
        <v>1092</v>
      </c>
      <c r="E22">
        <f>E18+I18+M18</f>
        <v>2184</v>
      </c>
      <c r="F22">
        <f>B22+C22+D22+E22</f>
        <v>16383</v>
      </c>
      <c r="G22">
        <f>MAX(B22:E22)</f>
        <v>8738</v>
      </c>
      <c r="H22">
        <f>F22/G22</f>
        <v>1.8749141680018311</v>
      </c>
    </row>
    <row r="23" spans="1:15" x14ac:dyDescent="0.3">
      <c r="A23" t="s">
        <v>11</v>
      </c>
      <c r="B23">
        <f>B18+C18+D18+E18</f>
        <v>15</v>
      </c>
      <c r="C23">
        <f>F18+G18+H18+I18</f>
        <v>240</v>
      </c>
      <c r="D23">
        <f>J18+K18+L18+M18</f>
        <v>3840</v>
      </c>
      <c r="E23" s="2">
        <f>N18+O18</f>
        <v>12288</v>
      </c>
      <c r="F23" s="2">
        <f>E23+D23+C23+B23</f>
        <v>16383</v>
      </c>
      <c r="G23">
        <f>MAX(B23:E23)</f>
        <v>12288</v>
      </c>
      <c r="H23">
        <f>F23/G23</f>
        <v>1.333251953125</v>
      </c>
    </row>
    <row r="24" spans="1:15" x14ac:dyDescent="0.3">
      <c r="A24" s="2" t="s">
        <v>12</v>
      </c>
      <c r="B24" s="3">
        <f>dinamicop(B18,C18,D18,E18,F18,G18,H18,I18,J18,K18,L18,M18,N18,O18,0)</f>
        <v>4369</v>
      </c>
      <c r="C24">
        <f>dinamicop(B18,C18,D18,E18,F18,G18,H18,I18,J18,K18,L18,M18,N18,O18,1)</f>
        <v>8738</v>
      </c>
      <c r="D24" s="2">
        <f>dinamicop(B18,C18,D18,E18,F18,G18,H18,I18,J18,K18,L18,M18,N18,O18,2)</f>
        <v>1092</v>
      </c>
      <c r="E24">
        <f>dinamicop(B18,C18,D18,E18,F18,G18,H18,I18,J18,K18,L18,M18,N18,O18,3)</f>
        <v>2184</v>
      </c>
      <c r="F24">
        <f>B24+C24+D24+E24</f>
        <v>16383</v>
      </c>
      <c r="G24">
        <f>MAX(B24:E24)</f>
        <v>8738</v>
      </c>
      <c r="H24">
        <f>F24/G24</f>
        <v>1.8749141680018311</v>
      </c>
    </row>
  </sheetData>
  <mergeCells count="2">
    <mergeCell ref="B1:O1"/>
    <mergeCell ref="B15:O15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8"/>
  <sheetViews>
    <sheetView workbookViewId="0">
      <selection activeCell="A9" sqref="A9"/>
    </sheetView>
  </sheetViews>
  <sheetFormatPr baseColWidth="10" defaultRowHeight="14.4" x14ac:dyDescent="0.3"/>
  <sheetData>
    <row r="1" spans="1:17" x14ac:dyDescent="0.3">
      <c r="K1" t="s">
        <v>8</v>
      </c>
    </row>
    <row r="2" spans="1:17" x14ac:dyDescent="0.3">
      <c r="A2" t="s">
        <v>1</v>
      </c>
      <c r="B2">
        <v>0</v>
      </c>
      <c r="C2">
        <f>D8</f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17" x14ac:dyDescent="0.3">
      <c r="A3" t="s">
        <v>2</v>
      </c>
      <c r="B3">
        <v>1</v>
      </c>
      <c r="C3">
        <f>E8</f>
        <v>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7" x14ac:dyDescent="0.3">
      <c r="A4" t="s">
        <v>3</v>
      </c>
      <c r="B4">
        <v>2</v>
      </c>
      <c r="C4">
        <f>F8</f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17" x14ac:dyDescent="0.3">
      <c r="A5" t="s">
        <v>4</v>
      </c>
      <c r="B5">
        <v>3</v>
      </c>
      <c r="C5">
        <f>G8</f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7" spans="1:17" x14ac:dyDescent="0.3">
      <c r="D7">
        <v>0</v>
      </c>
      <c r="E7">
        <v>1</v>
      </c>
      <c r="F7">
        <v>2</v>
      </c>
      <c r="G7">
        <v>3</v>
      </c>
      <c r="H7">
        <v>4</v>
      </c>
      <c r="I7">
        <v>5</v>
      </c>
      <c r="J7">
        <v>6</v>
      </c>
      <c r="K7">
        <v>7</v>
      </c>
      <c r="L7">
        <v>8</v>
      </c>
      <c r="M7">
        <v>9</v>
      </c>
      <c r="N7">
        <v>10</v>
      </c>
      <c r="O7">
        <v>11</v>
      </c>
      <c r="P7">
        <v>12</v>
      </c>
      <c r="Q7">
        <v>13</v>
      </c>
    </row>
    <row r="8" spans="1:17" x14ac:dyDescent="0.3">
      <c r="D8">
        <f>Hoja1!B4</f>
        <v>1</v>
      </c>
      <c r="E8">
        <f>Hoja1!C4</f>
        <v>2</v>
      </c>
      <c r="F8">
        <f>Hoja1!D4</f>
        <v>2</v>
      </c>
      <c r="G8">
        <f>Hoja1!E4</f>
        <v>1</v>
      </c>
      <c r="H8">
        <f>Hoja1!F4</f>
        <v>1</v>
      </c>
      <c r="I8">
        <f>Hoja1!G4</f>
        <v>1</v>
      </c>
      <c r="J8">
        <f>Hoja1!H4</f>
        <v>2</v>
      </c>
      <c r="K8">
        <f>Hoja1!I4</f>
        <v>1</v>
      </c>
      <c r="L8">
        <f>Hoja1!J4</f>
        <v>2</v>
      </c>
      <c r="M8">
        <f>Hoja1!K4</f>
        <v>2</v>
      </c>
      <c r="N8">
        <f>Hoja1!L4</f>
        <v>1</v>
      </c>
      <c r="O8">
        <f>Hoja1!M4</f>
        <v>2</v>
      </c>
      <c r="P8">
        <f>Hoja1!N4</f>
        <v>1</v>
      </c>
      <c r="Q8">
        <f>Hoja1!O4</f>
        <v>2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Hoja1</vt:lpstr>
      <vt:lpstr>variables</vt:lpstr>
      <vt:lpstr>Hoja3</vt:lpstr>
      <vt:lpstr>proc0r</vt:lpstr>
      <vt:lpstr>proc1r</vt:lpstr>
      <vt:lpstr>proc2r</vt:lpstr>
      <vt:lpstr>proc3r</vt:lpstr>
      <vt:lpstr>proceso1</vt:lpstr>
      <vt:lpstr>proceso2</vt:lpstr>
      <vt:lpstr>proceso3</vt:lpstr>
      <vt:lpstr>proceso4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2019-09-09T15:49:25Z</dcterms:created>
  <dcterms:modified xsi:type="dcterms:W3CDTF">2019-09-13T17:09:36Z</dcterms:modified>
</cp:coreProperties>
</file>